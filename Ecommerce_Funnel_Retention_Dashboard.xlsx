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unnel Analysis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Cohort Retention" sheetId="4" state="visible" r:id="rId4"/>
    <sheet xmlns:r="http://schemas.openxmlformats.org/officeDocument/2006/relationships" name="AB Test - Checkout" sheetId="5" state="visible" r:id="rId5"/>
    <sheet xmlns:r="http://schemas.openxmlformats.org/officeDocument/2006/relationships" name="Marketing &amp; Categ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6"/>
    </font>
    <font>
      <name val="Calibri"/>
      <i val="1"/>
      <color rgb="00666666"/>
      <sz val="10"/>
    </font>
    <font>
      <name val="Calibri"/>
      <color rgb="00666666"/>
      <sz val="10"/>
    </font>
    <font>
      <name val="Calibri"/>
      <b val="1"/>
      <color rgb="001F2A44"/>
      <sz val="20"/>
    </font>
    <font>
      <name val="Calibri"/>
      <b val="1"/>
      <color rgb="001F2A44"/>
      <sz val="12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2A44"/>
      <sz val="1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6" fillId="0" borderId="1" pivotButton="0" quotePrefix="0" xfId="0"/>
    <xf numFmtId="0" fontId="7" fillId="2" borderId="0" pivotButton="0" quotePrefix="0" xfId="0"/>
    <xf numFmtId="0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164" fontId="0" fillId="5" borderId="1" pivotButton="0" quotePrefix="0" xfId="0"/>
    <xf numFmtId="164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Funnel — Sessions by Stage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'Funnel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'Funnel Analysis'!$B$5:$B$10</f>
            </numRef>
          </cat>
          <val>
            <numRef>
              <f>'Funnel Analysis'!$C$5:$C$10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Channel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'Funnel Analysis'!E16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'Funnel Analysis'!$B$17:$B$24</f>
            </numRef>
          </cat>
          <val>
            <numRef>
              <f>'Funnel Analysis'!$E$17:$E$24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Trend (with 3-mo moving average)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Trend'!$B$5:$B$19</f>
            </numRef>
          </cat>
          <val>
            <numRef>
              <f>'Monthly Trend'!$E$5:$E$19</f>
            </numRef>
          </val>
        </ser>
        <ser>
          <idx val="1"/>
          <order val="1"/>
          <tx>
            <strRef>
              <f>'Monthly Trend'!F4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Trend'!$B$5:$B$19</f>
            </numRef>
          </cat>
          <val>
            <numRef>
              <f>'Monthly Trend'!$F$5:$F$19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Checkout Completion Rate by Variant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'AB Test - Checkout'!E5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'AB Test - Checkout'!$B$6:$B$8</f>
            </numRef>
          </cat>
          <val>
            <numRef>
              <f>'AB Test - Checkout'!$E$6:$E$8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ROAS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'Marketing &amp; Category'!G4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'Marketing &amp; Category'!$B$5:$B$12</f>
            </numRef>
          </cat>
          <val>
            <numRef>
              <f>'Marketing &amp; Category'!$G$5:$G$12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15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UrbanThread — E-commerce Funnel &amp; Retention Analytics</t>
        </is>
      </c>
    </row>
    <row r="3">
      <c r="B3" s="2" t="inlineStr">
        <is>
          <t>Nov 2024 – Dec 2025  |  Data: PostgreSQL 16  |  Prepared by Anshikha Chaurasiya</t>
        </is>
      </c>
    </row>
    <row r="5">
      <c r="B5" s="3" t="inlineStr">
        <is>
          <t>Total Sessions (14 mo)</t>
        </is>
      </c>
      <c r="E5" s="3" t="inlineStr">
        <is>
          <t>Overall Conversion Rate</t>
        </is>
      </c>
      <c r="H5" s="3" t="inlineStr">
        <is>
          <t>Gross Revenue (INR)</t>
        </is>
      </c>
      <c r="K5" s="3" t="inlineStr">
        <is>
          <t>Gross Margin</t>
        </is>
      </c>
      <c r="N5" s="3" t="inlineStr">
        <is>
          <t>Checkout Redesign Lift</t>
        </is>
      </c>
    </row>
    <row r="6">
      <c r="B6" s="4" t="inlineStr">
        <is>
          <t>83,547</t>
        </is>
      </c>
      <c r="E6" s="4" t="inlineStr">
        <is>
          <t>9.15%</t>
        </is>
      </c>
      <c r="H6" s="4" t="inlineStr">
        <is>
          <t>₹2.78 Cr</t>
        </is>
      </c>
      <c r="K6" s="4" t="inlineStr">
        <is>
          <t>₹1.39 Cr</t>
        </is>
      </c>
      <c r="N6" s="4" t="inlineStr">
        <is>
          <t>+14.0%</t>
        </is>
      </c>
    </row>
    <row r="9">
      <c r="B9" s="5" t="inlineStr">
        <is>
          <t>Key findings</t>
        </is>
      </c>
    </row>
    <row r="10">
      <c r="B10" s="6" t="inlineStr">
        <is>
          <t>• Desktop converts 2.6x better than Mobile (16.5% vs 6.3%) despite Mobile carrying 68% of sessions — mobile checkout UX is the single biggest funnel leak.</t>
        </is>
      </c>
    </row>
    <row r="11">
      <c r="B11" s="6" t="inlineStr">
        <is>
          <t>• Direct and Email traffic convert far above paid channels; Paid Social and Affiliate spend show the weakest ROAS (0.39x and 0.44x).</t>
        </is>
      </c>
    </row>
    <row r="12">
      <c r="B12" s="6" t="inlineStr">
        <is>
          <t>• The redesigned checkout (Variant B) lifted completion from 9.05% to 10.32% — a statistically significant +14% relative lift (z=2.11, p=0.035).</t>
        </is>
      </c>
    </row>
    <row r="13">
      <c r="B13" s="6" t="inlineStr">
        <is>
          <t>• 'At Risk' customers (recent-but-fading, high past value) hold ₹81L in historical revenue — the highest-value win-back segment.</t>
        </is>
      </c>
    </row>
    <row r="14">
      <c r="B14" s="6" t="inlineStr">
        <is>
          <t>• Footwear leads gross revenue and margin among categories; Beauty has the lowest average order value but the largest unit volume.</t>
        </is>
      </c>
    </row>
  </sheetData>
  <mergeCells count="5">
    <mergeCell ref="B12:I12"/>
    <mergeCell ref="B13:I13"/>
    <mergeCell ref="B11:I11"/>
    <mergeCell ref="B10:I10"/>
    <mergeCell ref="B14:I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0" customWidth="1" min="3" max="3"/>
    <col width="10" customWidth="1" min="4" max="4"/>
    <col width="16" customWidth="1" min="5" max="5"/>
    <col width="12" customWidth="1" min="6" max="6"/>
  </cols>
  <sheetData>
    <row r="2">
      <c r="B2" s="1" t="inlineStr">
        <is>
          <t>Conversion Funnel (Nov 2024 – Dec 2025)</t>
        </is>
      </c>
    </row>
    <row r="4">
      <c r="B4" s="7" t="inlineStr">
        <is>
          <t>stage</t>
        </is>
      </c>
      <c r="C4" s="7" t="inlineStr">
        <is>
          <t>sessions</t>
        </is>
      </c>
      <c r="D4" s="7" t="inlineStr">
        <is>
          <t>stage_order</t>
        </is>
      </c>
    </row>
    <row r="5">
      <c r="B5" s="8" t="inlineStr">
        <is>
          <t>Home View</t>
        </is>
      </c>
      <c r="C5" s="8" t="n">
        <v>83547</v>
      </c>
      <c r="D5" s="8" t="n">
        <v>1</v>
      </c>
    </row>
    <row r="6">
      <c r="B6" s="8" t="inlineStr">
        <is>
          <t>Product View</t>
        </is>
      </c>
      <c r="C6" s="8" t="n">
        <v>51949</v>
      </c>
      <c r="D6" s="8" t="n">
        <v>2</v>
      </c>
    </row>
    <row r="7">
      <c r="B7" s="8" t="inlineStr">
        <is>
          <t>Add to Cart</t>
        </is>
      </c>
      <c r="C7" s="8" t="n">
        <v>18301</v>
      </c>
      <c r="D7" s="8" t="n">
        <v>3</v>
      </c>
    </row>
    <row r="8">
      <c r="B8" s="8" t="inlineStr">
        <is>
          <t>Checkout Start</t>
        </is>
      </c>
      <c r="C8" s="8" t="n">
        <v>10219</v>
      </c>
      <c r="D8" s="8" t="n">
        <v>4</v>
      </c>
    </row>
    <row r="9">
      <c r="B9" s="8" t="inlineStr">
        <is>
          <t>Purchase</t>
        </is>
      </c>
      <c r="C9" s="8" t="n">
        <v>7642</v>
      </c>
      <c r="D9" s="8" t="n">
        <v>5</v>
      </c>
    </row>
    <row r="14">
      <c r="B14" s="5" t="inlineStr">
        <is>
          <t>Funnel by Acquisition Channel</t>
        </is>
      </c>
    </row>
    <row r="16">
      <c r="B16" s="7" t="inlineStr">
        <is>
          <t>channel</t>
        </is>
      </c>
      <c r="C16" s="7" t="inlineStr">
        <is>
          <t>sessions</t>
        </is>
      </c>
      <c r="D16" s="7" t="inlineStr">
        <is>
          <t>purchases</t>
        </is>
      </c>
      <c r="E16" s="7" t="inlineStr">
        <is>
          <t>conversion_rate_pct</t>
        </is>
      </c>
      <c r="F16" s="7" t="inlineStr">
        <is>
          <t>cart_rate_pct</t>
        </is>
      </c>
    </row>
    <row r="17">
      <c r="B17" s="8" t="inlineStr">
        <is>
          <t>Direct</t>
        </is>
      </c>
      <c r="C17" s="8" t="n">
        <v>12684</v>
      </c>
      <c r="D17" s="8" t="n">
        <v>2113</v>
      </c>
      <c r="E17" s="8" t="n">
        <v>16.66</v>
      </c>
      <c r="F17" s="8" t="n">
        <v>30.91</v>
      </c>
    </row>
    <row r="18">
      <c r="B18" s="8" t="inlineStr">
        <is>
          <t>Email</t>
        </is>
      </c>
      <c r="C18" s="8" t="n">
        <v>6658</v>
      </c>
      <c r="D18" s="8" t="n">
        <v>932</v>
      </c>
      <c r="E18" s="8" t="n">
        <v>14</v>
      </c>
      <c r="F18" s="8" t="n">
        <v>28.81</v>
      </c>
    </row>
    <row r="19">
      <c r="B19" s="8" t="inlineStr">
        <is>
          <t>Referral</t>
        </is>
      </c>
      <c r="C19" s="8" t="n">
        <v>6119</v>
      </c>
      <c r="D19" s="8" t="n">
        <v>732</v>
      </c>
      <c r="E19" s="8" t="n">
        <v>11.96</v>
      </c>
      <c r="F19" s="8" t="n">
        <v>25.38</v>
      </c>
    </row>
    <row r="20">
      <c r="B20" s="8" t="inlineStr">
        <is>
          <t>Organic Search</t>
        </is>
      </c>
      <c r="C20" s="8" t="n">
        <v>18665</v>
      </c>
      <c r="D20" s="8" t="n">
        <v>1739</v>
      </c>
      <c r="E20" s="8" t="n">
        <v>9.32</v>
      </c>
      <c r="F20" s="8" t="n">
        <v>22.41</v>
      </c>
    </row>
    <row r="21">
      <c r="B21" s="8" t="inlineStr">
        <is>
          <t>Paid Search</t>
        </is>
      </c>
      <c r="C21" s="8" t="n">
        <v>14633</v>
      </c>
      <c r="D21" s="8" t="n">
        <v>1158</v>
      </c>
      <c r="E21" s="8" t="n">
        <v>7.91</v>
      </c>
      <c r="F21" s="8" t="n">
        <v>20.92</v>
      </c>
    </row>
    <row r="22">
      <c r="B22" s="8" t="inlineStr">
        <is>
          <t>Paid Social</t>
        </is>
      </c>
      <c r="C22" s="8" t="n">
        <v>16692</v>
      </c>
      <c r="D22" s="8" t="n">
        <v>683</v>
      </c>
      <c r="E22" s="8" t="n">
        <v>4.09</v>
      </c>
      <c r="F22" s="8" t="n">
        <v>15.14</v>
      </c>
    </row>
    <row r="23">
      <c r="B23" s="8" t="inlineStr">
        <is>
          <t>Affiliate</t>
        </is>
      </c>
      <c r="C23" s="8" t="n">
        <v>8096</v>
      </c>
      <c r="D23" s="8" t="n">
        <v>285</v>
      </c>
      <c r="E23" s="8" t="n">
        <v>3.52</v>
      </c>
      <c r="F23" s="8" t="n">
        <v>14.06</v>
      </c>
    </row>
    <row r="26">
      <c r="B26" s="5" t="inlineStr">
        <is>
          <t>Funnel by Device</t>
        </is>
      </c>
    </row>
    <row r="28">
      <c r="B28" s="7" t="inlineStr">
        <is>
          <t>device</t>
        </is>
      </c>
      <c r="C28" s="7" t="inlineStr">
        <is>
          <t>sessions</t>
        </is>
      </c>
      <c r="D28" s="7" t="inlineStr">
        <is>
          <t>purchases</t>
        </is>
      </c>
      <c r="E28" s="7" t="inlineStr">
        <is>
          <t>conversion_rate_pct</t>
        </is>
      </c>
    </row>
    <row r="29">
      <c r="B29" s="8" t="inlineStr">
        <is>
          <t>Desktop</t>
        </is>
      </c>
      <c r="C29" s="8" t="n">
        <v>22454</v>
      </c>
      <c r="D29" s="8" t="n">
        <v>3711</v>
      </c>
      <c r="E29" s="8" t="n">
        <v>16.53</v>
      </c>
    </row>
    <row r="30">
      <c r="B30" s="8" t="inlineStr">
        <is>
          <t>Tablet</t>
        </is>
      </c>
      <c r="C30" s="8" t="n">
        <v>4235</v>
      </c>
      <c r="D30" s="8" t="n">
        <v>348</v>
      </c>
      <c r="E30" s="8" t="n">
        <v>8.220000000000001</v>
      </c>
    </row>
    <row r="31">
      <c r="B31" s="8" t="inlineStr">
        <is>
          <t>Mobile</t>
        </is>
      </c>
      <c r="C31" s="8" t="n">
        <v>56858</v>
      </c>
      <c r="D31" s="8" t="n">
        <v>3583</v>
      </c>
      <c r="E31" s="8" t="n">
        <v>6.3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0" customWidth="1" min="3" max="3"/>
    <col width="16" customWidth="1" min="4" max="4"/>
    <col width="18" customWidth="1" min="5" max="5"/>
    <col width="18" customWidth="1" min="6" max="6"/>
  </cols>
  <sheetData>
    <row r="2">
      <c r="B2" s="1" t="inlineStr">
        <is>
          <t>Monthly Session &amp; Conversion Trend</t>
        </is>
      </c>
    </row>
    <row r="4">
      <c r="B4" s="7" t="inlineStr">
        <is>
          <t>month</t>
        </is>
      </c>
      <c r="C4" s="7" t="inlineStr">
        <is>
          <t>sessions</t>
        </is>
      </c>
      <c r="D4" s="7" t="inlineStr">
        <is>
          <t>purchase_sessions</t>
        </is>
      </c>
      <c r="E4" s="7" t="inlineStr">
        <is>
          <t>conversion_rate_pct</t>
        </is>
      </c>
      <c r="F4" s="7" t="inlineStr">
        <is>
          <t>conv_rate_3mo_avg</t>
        </is>
      </c>
    </row>
    <row r="5">
      <c r="B5" s="8" t="inlineStr">
        <is>
          <t>2024-11-01</t>
        </is>
      </c>
      <c r="C5" s="8" t="n">
        <v>2395</v>
      </c>
      <c r="D5" s="8" t="n">
        <v>244</v>
      </c>
      <c r="E5" s="8" t="n">
        <v>10.19</v>
      </c>
      <c r="F5" s="8" t="n">
        <v>10.19</v>
      </c>
    </row>
    <row r="6">
      <c r="B6" s="8" t="inlineStr">
        <is>
          <t>2024-12-01</t>
        </is>
      </c>
      <c r="C6" s="8" t="n">
        <v>5264</v>
      </c>
      <c r="D6" s="8" t="n">
        <v>468</v>
      </c>
      <c r="E6" s="8" t="n">
        <v>8.890000000000001</v>
      </c>
      <c r="F6" s="8" t="n">
        <v>9.539999999999999</v>
      </c>
    </row>
    <row r="7">
      <c r="B7" s="8" t="inlineStr">
        <is>
          <t>2025-01-01</t>
        </is>
      </c>
      <c r="C7" s="8" t="n">
        <v>7050</v>
      </c>
      <c r="D7" s="8" t="n">
        <v>640</v>
      </c>
      <c r="E7" s="8" t="n">
        <v>9.08</v>
      </c>
      <c r="F7" s="8" t="n">
        <v>9.390000000000001</v>
      </c>
    </row>
    <row r="8">
      <c r="B8" s="8" t="inlineStr">
        <is>
          <t>2025-02-01</t>
        </is>
      </c>
      <c r="C8" s="8" t="n">
        <v>7846</v>
      </c>
      <c r="D8" s="8" t="n">
        <v>708</v>
      </c>
      <c r="E8" s="8" t="n">
        <v>9.02</v>
      </c>
      <c r="F8" s="8" t="n">
        <v>9</v>
      </c>
    </row>
    <row r="9">
      <c r="B9" s="8" t="inlineStr">
        <is>
          <t>2025-03-01</t>
        </is>
      </c>
      <c r="C9" s="8" t="n">
        <v>9528</v>
      </c>
      <c r="D9" s="8" t="n">
        <v>867</v>
      </c>
      <c r="E9" s="8" t="n">
        <v>9.1</v>
      </c>
      <c r="F9" s="8" t="n">
        <v>9.07</v>
      </c>
    </row>
    <row r="10">
      <c r="B10" s="8" t="inlineStr">
        <is>
          <t>2025-04-01</t>
        </is>
      </c>
      <c r="C10" s="8" t="n">
        <v>9089</v>
      </c>
      <c r="D10" s="8" t="n">
        <v>876</v>
      </c>
      <c r="E10" s="8" t="n">
        <v>9.640000000000001</v>
      </c>
      <c r="F10" s="8" t="n">
        <v>9.25</v>
      </c>
    </row>
    <row r="11">
      <c r="B11" s="8" t="inlineStr">
        <is>
          <t>2025-05-01</t>
        </is>
      </c>
      <c r="C11" s="8" t="n">
        <v>8926</v>
      </c>
      <c r="D11" s="8" t="n">
        <v>791</v>
      </c>
      <c r="E11" s="8" t="n">
        <v>8.859999999999999</v>
      </c>
      <c r="F11" s="8" t="n">
        <v>9.199999999999999</v>
      </c>
    </row>
    <row r="12">
      <c r="B12" s="8" t="inlineStr">
        <is>
          <t>2025-06-01</t>
        </is>
      </c>
      <c r="C12" s="8" t="n">
        <v>7969</v>
      </c>
      <c r="D12" s="8" t="n">
        <v>695</v>
      </c>
      <c r="E12" s="8" t="n">
        <v>8.720000000000001</v>
      </c>
      <c r="F12" s="8" t="n">
        <v>9.07</v>
      </c>
    </row>
    <row r="13">
      <c r="B13" s="8" t="inlineStr">
        <is>
          <t>2025-07-01</t>
        </is>
      </c>
      <c r="C13" s="8" t="n">
        <v>7362</v>
      </c>
      <c r="D13" s="8" t="n">
        <v>691</v>
      </c>
      <c r="E13" s="8" t="n">
        <v>9.390000000000001</v>
      </c>
      <c r="F13" s="8" t="n">
        <v>8.99</v>
      </c>
    </row>
    <row r="14">
      <c r="B14" s="8" t="inlineStr">
        <is>
          <t>2025-08-01</t>
        </is>
      </c>
      <c r="C14" s="8" t="n">
        <v>6225</v>
      </c>
      <c r="D14" s="8" t="n">
        <v>575</v>
      </c>
      <c r="E14" s="8" t="n">
        <v>9.24</v>
      </c>
      <c r="F14" s="8" t="n">
        <v>9.109999999999999</v>
      </c>
    </row>
    <row r="15">
      <c r="B15" s="8" t="inlineStr">
        <is>
          <t>2025-09-01</t>
        </is>
      </c>
      <c r="C15" s="8" t="n">
        <v>4797</v>
      </c>
      <c r="D15" s="8" t="n">
        <v>454</v>
      </c>
      <c r="E15" s="8" t="n">
        <v>9.460000000000001</v>
      </c>
      <c r="F15" s="8" t="n">
        <v>9.359999999999999</v>
      </c>
    </row>
    <row r="16">
      <c r="B16" s="8" t="inlineStr">
        <is>
          <t>2025-10-01</t>
        </is>
      </c>
      <c r="C16" s="8" t="n">
        <v>3547</v>
      </c>
      <c r="D16" s="8" t="n">
        <v>284</v>
      </c>
      <c r="E16" s="8" t="n">
        <v>8.01</v>
      </c>
      <c r="F16" s="8" t="n">
        <v>8.9</v>
      </c>
    </row>
    <row r="17">
      <c r="B17" s="8" t="inlineStr">
        <is>
          <t>2025-11-01</t>
        </is>
      </c>
      <c r="C17" s="8" t="n">
        <v>2247</v>
      </c>
      <c r="D17" s="8" t="n">
        <v>220</v>
      </c>
      <c r="E17" s="8" t="n">
        <v>9.789999999999999</v>
      </c>
      <c r="F17" s="8" t="n">
        <v>9.09</v>
      </c>
    </row>
    <row r="18">
      <c r="B18" s="8" t="inlineStr">
        <is>
          <t>2025-12-01</t>
        </is>
      </c>
      <c r="C18" s="8" t="n">
        <v>1302</v>
      </c>
      <c r="D18" s="8" t="n">
        <v>129</v>
      </c>
      <c r="E18" s="8" t="n">
        <v>9.91</v>
      </c>
      <c r="F18" s="8" t="n">
        <v>9.24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2" customWidth="1" min="3" max="3"/>
    <col width="14" customWidth="1" min="4" max="4"/>
    <col width="14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2">
      <c r="B2" s="1" t="inlineStr">
        <is>
          <t>Signup-Month Cohort Retention (% placing an order in month N)</t>
        </is>
      </c>
    </row>
    <row r="4">
      <c r="B4" s="9" t="inlineStr">
        <is>
          <t>Cohort Month</t>
        </is>
      </c>
      <c r="C4" s="9" t="inlineStr">
        <is>
          <t>Cohort Size</t>
        </is>
      </c>
      <c r="D4" s="9" t="inlineStr">
        <is>
          <t>Month 0</t>
        </is>
      </c>
      <c r="E4" s="9" t="inlineStr">
        <is>
          <t>Month 1</t>
        </is>
      </c>
      <c r="F4" s="9" t="inlineStr">
        <is>
          <t>Month 2</t>
        </is>
      </c>
      <c r="G4" s="9" t="inlineStr">
        <is>
          <t>Month 3</t>
        </is>
      </c>
      <c r="H4" s="9" t="inlineStr">
        <is>
          <t>Month 4</t>
        </is>
      </c>
      <c r="I4" s="9" t="inlineStr">
        <is>
          <t>Month 5</t>
        </is>
      </c>
      <c r="J4" s="9" t="inlineStr">
        <is>
          <t>Month 6</t>
        </is>
      </c>
    </row>
    <row r="5">
      <c r="B5" s="10" t="inlineStr">
        <is>
          <t>2024-11-01</t>
        </is>
      </c>
      <c r="C5" s="10" t="n">
        <v>1703</v>
      </c>
      <c r="D5" s="11" t="n">
        <v>11.8</v>
      </c>
      <c r="E5" s="12" t="n">
        <v>17.32</v>
      </c>
      <c r="F5" s="12" t="n">
        <v>16.21</v>
      </c>
      <c r="G5" s="12" t="n">
        <v>15.97</v>
      </c>
      <c r="H5" s="12" t="n">
        <v>15.21</v>
      </c>
      <c r="I5" s="11" t="n">
        <v>12.62</v>
      </c>
      <c r="J5" s="11" t="n">
        <v>9.69</v>
      </c>
    </row>
    <row r="6">
      <c r="B6" s="10" t="inlineStr">
        <is>
          <t>2024-12-01</t>
        </is>
      </c>
      <c r="C6" s="10" t="n">
        <v>953</v>
      </c>
      <c r="D6" s="11" t="n">
        <v>10.49</v>
      </c>
      <c r="E6" s="12" t="n">
        <v>19.2</v>
      </c>
      <c r="F6" s="12" t="n">
        <v>15.95</v>
      </c>
      <c r="G6" s="12" t="n">
        <v>15.74</v>
      </c>
      <c r="H6" s="12" t="n">
        <v>15.11</v>
      </c>
      <c r="I6" s="11" t="n">
        <v>10.81</v>
      </c>
      <c r="J6" s="13" t="n">
        <v>6.61</v>
      </c>
    </row>
    <row r="7">
      <c r="B7" s="10" t="inlineStr">
        <is>
          <t>2025-01-01</t>
        </is>
      </c>
      <c r="C7" s="10" t="n">
        <v>800</v>
      </c>
      <c r="D7" s="11" t="n">
        <v>11.25</v>
      </c>
      <c r="E7" s="12" t="n">
        <v>16.75</v>
      </c>
      <c r="F7" s="12" t="n">
        <v>17.13</v>
      </c>
      <c r="G7" s="12" t="n">
        <v>16.75</v>
      </c>
      <c r="H7" s="11" t="n">
        <v>12.75</v>
      </c>
      <c r="I7" s="11" t="n">
        <v>9.25</v>
      </c>
      <c r="J7" s="13" t="n">
        <v>7.13</v>
      </c>
    </row>
    <row r="8">
      <c r="B8" s="10" t="inlineStr">
        <is>
          <t>2025-02-01</t>
        </is>
      </c>
      <c r="C8" s="10" t="n">
        <v>661</v>
      </c>
      <c r="D8" s="13" t="n">
        <v>7.41</v>
      </c>
      <c r="E8" s="12" t="n">
        <v>17.7</v>
      </c>
      <c r="F8" s="12" t="n">
        <v>17.25</v>
      </c>
      <c r="G8" s="12" t="n">
        <v>16.04</v>
      </c>
      <c r="H8" s="11" t="n">
        <v>11.65</v>
      </c>
      <c r="I8" s="11" t="n">
        <v>8.32</v>
      </c>
      <c r="J8" s="13" t="n">
        <v>5.75</v>
      </c>
    </row>
    <row r="9">
      <c r="B9" s="10" t="inlineStr">
        <is>
          <t>2025-03-01</t>
        </is>
      </c>
      <c r="C9" s="10" t="n">
        <v>597</v>
      </c>
      <c r="D9" s="11" t="n">
        <v>11.73</v>
      </c>
      <c r="E9" s="12" t="n">
        <v>16.58</v>
      </c>
      <c r="F9" s="12" t="n">
        <v>15.08</v>
      </c>
      <c r="G9" s="11" t="n">
        <v>11.73</v>
      </c>
      <c r="H9" s="11" t="n">
        <v>9.720000000000001</v>
      </c>
      <c r="I9" s="13" t="n">
        <v>7.71</v>
      </c>
      <c r="J9" s="13" t="n">
        <v>3.85</v>
      </c>
    </row>
    <row r="10">
      <c r="B10" s="10" t="inlineStr">
        <is>
          <t>2025-04-01</t>
        </is>
      </c>
      <c r="C10" s="10" t="n">
        <v>544</v>
      </c>
      <c r="D10" s="11" t="n">
        <v>8.460000000000001</v>
      </c>
      <c r="E10" s="12" t="n">
        <v>17.46</v>
      </c>
      <c r="F10" s="12" t="n">
        <v>15.07</v>
      </c>
      <c r="G10" s="11" t="n">
        <v>12.5</v>
      </c>
      <c r="H10" s="11" t="n">
        <v>8.09</v>
      </c>
      <c r="I10" s="13" t="n">
        <v>4.6</v>
      </c>
      <c r="J10" s="13" t="n">
        <v>4.23</v>
      </c>
    </row>
    <row r="11">
      <c r="B11" s="10" t="inlineStr">
        <is>
          <t>2025-05-01</t>
        </is>
      </c>
      <c r="C11" s="10" t="n">
        <v>533</v>
      </c>
      <c r="D11" s="13" t="n">
        <v>7.13</v>
      </c>
      <c r="E11" s="12" t="n">
        <v>17.45</v>
      </c>
      <c r="F11" s="12" t="n">
        <v>16.7</v>
      </c>
      <c r="G11" s="11" t="n">
        <v>10.13</v>
      </c>
      <c r="H11" s="13" t="n">
        <v>6.94</v>
      </c>
      <c r="I11" s="13" t="n">
        <v>2.06</v>
      </c>
      <c r="J11" s="13" t="n">
        <v>1.31</v>
      </c>
    </row>
    <row r="12">
      <c r="B12" s="10" t="inlineStr">
        <is>
          <t>2025-06-01</t>
        </is>
      </c>
      <c r="C12" s="10" t="n">
        <v>523</v>
      </c>
      <c r="D12" s="11" t="n">
        <v>9.94</v>
      </c>
      <c r="E12" s="12" t="n">
        <v>18.36</v>
      </c>
      <c r="F12" s="11" t="n">
        <v>11.66</v>
      </c>
      <c r="G12" s="13" t="n">
        <v>7.84</v>
      </c>
      <c r="H12" s="13" t="n">
        <v>2.68</v>
      </c>
      <c r="I12" s="13" t="n">
        <v>1.72</v>
      </c>
      <c r="J12" s="13" t="n">
        <v>1.15</v>
      </c>
    </row>
    <row r="13">
      <c r="B13" s="10" t="inlineStr">
        <is>
          <t>2025-07-01</t>
        </is>
      </c>
      <c r="C13" s="10" t="n">
        <v>496</v>
      </c>
      <c r="D13" s="11" t="n">
        <v>9.48</v>
      </c>
      <c r="E13" s="12" t="n">
        <v>18.75</v>
      </c>
      <c r="F13" s="11" t="n">
        <v>11.09</v>
      </c>
      <c r="G13" s="13" t="n">
        <v>4.44</v>
      </c>
      <c r="H13" s="13" t="n">
        <v>1.41</v>
      </c>
      <c r="I13" s="13" t="n">
        <v>1.21</v>
      </c>
      <c r="J13" s="14" t="n"/>
    </row>
    <row r="14">
      <c r="B14" s="10" t="inlineStr">
        <is>
          <t>2025-08-01</t>
        </is>
      </c>
      <c r="C14" s="10" t="n">
        <v>511</v>
      </c>
      <c r="D14" s="11" t="n">
        <v>9.199999999999999</v>
      </c>
      <c r="E14" s="11" t="n">
        <v>14.48</v>
      </c>
      <c r="F14" s="13" t="n">
        <v>6.07</v>
      </c>
      <c r="G14" s="13" t="n">
        <v>2.94</v>
      </c>
      <c r="H14" s="13" t="n">
        <v>2.94</v>
      </c>
      <c r="I14" s="14" t="n"/>
      <c r="J14" s="14" t="n"/>
    </row>
    <row r="15">
      <c r="B15" s="10" t="inlineStr">
        <is>
          <t>2025-09-01</t>
        </is>
      </c>
      <c r="C15" s="10" t="n">
        <v>450</v>
      </c>
      <c r="D15" s="11" t="n">
        <v>10</v>
      </c>
      <c r="E15" s="11" t="n">
        <v>13.11</v>
      </c>
      <c r="F15" s="13" t="n">
        <v>5.11</v>
      </c>
      <c r="G15" s="13" t="n">
        <v>2</v>
      </c>
      <c r="H15" s="14" t="n"/>
      <c r="I15" s="14" t="n"/>
      <c r="J15" s="14" t="n"/>
    </row>
    <row r="16">
      <c r="B16" s="10" t="inlineStr">
        <is>
          <t>2025-10-01</t>
        </is>
      </c>
      <c r="C16" s="10" t="n">
        <v>429</v>
      </c>
      <c r="D16" s="13" t="n">
        <v>6.99</v>
      </c>
      <c r="E16" s="11" t="n">
        <v>9.09</v>
      </c>
      <c r="F16" s="13" t="n">
        <v>2.1</v>
      </c>
      <c r="G16" s="14" t="n"/>
      <c r="H16" s="14" t="n"/>
      <c r="I16" s="14" t="n"/>
      <c r="J16" s="14" t="n"/>
    </row>
    <row r="17">
      <c r="B17" s="10" t="inlineStr">
        <is>
          <t>2025-11-01</t>
        </is>
      </c>
      <c r="C17" s="10" t="n">
        <v>391</v>
      </c>
      <c r="D17" s="11" t="n">
        <v>9.210000000000001</v>
      </c>
      <c r="E17" s="13" t="n">
        <v>4.6</v>
      </c>
      <c r="F17" s="14" t="n"/>
      <c r="G17" s="14" t="n"/>
      <c r="H17" s="14" t="n"/>
      <c r="I17" s="14" t="n"/>
      <c r="J17" s="14" t="n"/>
    </row>
    <row r="18">
      <c r="B18" s="10" t="inlineStr">
        <is>
          <t>2025-12-01</t>
        </is>
      </c>
      <c r="C18" s="10" t="n">
        <v>409</v>
      </c>
      <c r="D18" s="13" t="n">
        <v>4.89</v>
      </c>
      <c r="E18" s="14" t="n"/>
      <c r="F18" s="14" t="n"/>
      <c r="G18" s="14" t="n"/>
      <c r="H18" s="14" t="n"/>
      <c r="I18" s="14" t="n"/>
      <c r="J18" s="14" t="n"/>
    </row>
    <row r="21">
      <c r="B21" s="5" t="inlineStr">
        <is>
          <t>RFM Customer Segments</t>
        </is>
      </c>
    </row>
    <row r="23">
      <c r="B23" s="7" t="inlineStr">
        <is>
          <t>rfm_segment</t>
        </is>
      </c>
      <c r="C23" s="7" t="inlineStr">
        <is>
          <t>customers</t>
        </is>
      </c>
      <c r="D23" s="7" t="inlineStr">
        <is>
          <t>pct_of_customers</t>
        </is>
      </c>
      <c r="E23" s="7" t="inlineStr">
        <is>
          <t>avg_monetary</t>
        </is>
      </c>
      <c r="F23" s="7" t="inlineStr">
        <is>
          <t>total_revenue</t>
        </is>
      </c>
    </row>
    <row r="24">
      <c r="B24" s="8" t="inlineStr">
        <is>
          <t>At Risk</t>
        </is>
      </c>
      <c r="C24" s="8" t="n">
        <v>1079</v>
      </c>
      <c r="D24" s="8" t="n">
        <v>25.61</v>
      </c>
      <c r="E24" s="8" t="n">
        <v>7546.17</v>
      </c>
      <c r="F24" s="8" t="n">
        <v>8142315.8</v>
      </c>
    </row>
    <row r="25">
      <c r="B25" s="8" t="inlineStr">
        <is>
          <t>Champions</t>
        </is>
      </c>
      <c r="C25" s="8" t="n">
        <v>655</v>
      </c>
      <c r="D25" s="8" t="n">
        <v>15.55</v>
      </c>
      <c r="E25" s="8" t="n">
        <v>9476.92</v>
      </c>
      <c r="F25" s="8" t="n">
        <v>6207379.95</v>
      </c>
    </row>
    <row r="26">
      <c r="B26" s="8" t="inlineStr">
        <is>
          <t>Loyal Customers</t>
        </is>
      </c>
      <c r="C26" s="8" t="n">
        <v>926</v>
      </c>
      <c r="D26" s="8" t="n">
        <v>21.98</v>
      </c>
      <c r="E26" s="8" t="n">
        <v>4131.91</v>
      </c>
      <c r="F26" s="8" t="n">
        <v>3826147.65</v>
      </c>
    </row>
    <row r="27">
      <c r="B27" s="8" t="inlineStr">
        <is>
          <t>Needs Attention</t>
        </is>
      </c>
      <c r="C27" s="8" t="n">
        <v>845</v>
      </c>
      <c r="D27" s="8" t="n">
        <v>20.06</v>
      </c>
      <c r="E27" s="8" t="n">
        <v>3724.07</v>
      </c>
      <c r="F27" s="8" t="n">
        <v>3146839.35</v>
      </c>
    </row>
    <row r="28">
      <c r="B28" s="8" t="inlineStr">
        <is>
          <t>Lost / Dormant</t>
        </is>
      </c>
      <c r="C28" s="8" t="n">
        <v>708</v>
      </c>
      <c r="D28" s="8" t="n">
        <v>16.81</v>
      </c>
      <c r="E28" s="8" t="n">
        <v>2244.74</v>
      </c>
      <c r="F28" s="8" t="n">
        <v>1589279.45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20" customWidth="1" min="3" max="3"/>
    <col width="12" customWidth="1" min="4" max="4"/>
    <col width="18" customWidth="1" min="5" max="5"/>
  </cols>
  <sheetData>
    <row r="2">
      <c r="B2" s="1" t="inlineStr">
        <is>
          <t>A/B Test: Checkout Redesign (checkout_redesign_v2)</t>
        </is>
      </c>
    </row>
    <row r="3">
      <c r="B3" s="2" t="inlineStr">
        <is>
          <t>Jul 1 – Aug 11, 2025 · sticky per-customer assignment</t>
        </is>
      </c>
    </row>
    <row r="5">
      <c r="B5" s="7" t="inlineStr">
        <is>
          <t>variant</t>
        </is>
      </c>
      <c r="C5" s="7" t="inlineStr">
        <is>
          <t>sessions_in_checkout</t>
        </is>
      </c>
      <c r="D5" s="7" t="inlineStr">
        <is>
          <t>purchases</t>
        </is>
      </c>
      <c r="E5" s="7" t="inlineStr">
        <is>
          <t>completion_rate_pct</t>
        </is>
      </c>
    </row>
    <row r="6">
      <c r="B6" s="8" t="inlineStr">
        <is>
          <t>A</t>
        </is>
      </c>
      <c r="C6" s="8" t="n">
        <v>4841</v>
      </c>
      <c r="D6" s="8" t="n">
        <v>438</v>
      </c>
      <c r="E6" s="8" t="n">
        <v>9.050000000000001</v>
      </c>
    </row>
    <row r="7">
      <c r="B7" s="8" t="inlineStr">
        <is>
          <t>B</t>
        </is>
      </c>
      <c r="C7" s="8" t="n">
        <v>4876</v>
      </c>
      <c r="D7" s="8" t="n">
        <v>503</v>
      </c>
      <c r="E7" s="8" t="n">
        <v>10.32</v>
      </c>
    </row>
    <row r="10">
      <c r="B10" s="15" t="inlineStr">
        <is>
          <t>Statistical test (two-proportion z-test)</t>
        </is>
      </c>
    </row>
    <row r="11">
      <c r="B11" s="6" t="inlineStr">
        <is>
          <t>Variant A rate</t>
        </is>
      </c>
      <c r="C11" s="16" t="inlineStr">
        <is>
          <t>9.05%</t>
        </is>
      </c>
    </row>
    <row r="12">
      <c r="B12" s="6" t="inlineStr">
        <is>
          <t>Variant B rate</t>
        </is>
      </c>
      <c r="C12" s="16" t="inlineStr">
        <is>
          <t>10.32%</t>
        </is>
      </c>
    </row>
    <row r="13">
      <c r="B13" s="6" t="inlineStr">
        <is>
          <t>Relative lift</t>
        </is>
      </c>
      <c r="C13" s="16" t="inlineStr">
        <is>
          <t>+14.0%</t>
        </is>
      </c>
    </row>
    <row r="14">
      <c r="B14" s="6" t="inlineStr">
        <is>
          <t>z-statistic</t>
        </is>
      </c>
      <c r="C14" s="16" t="inlineStr">
        <is>
          <t>2.113</t>
        </is>
      </c>
    </row>
    <row r="15">
      <c r="B15" s="6" t="inlineStr">
        <is>
          <t>p-value (two-tailed)</t>
        </is>
      </c>
      <c r="C15" s="16" t="inlineStr">
        <is>
          <t>0.0346</t>
        </is>
      </c>
    </row>
    <row r="16">
      <c r="B16" s="6" t="inlineStr">
        <is>
          <t>Significant at 5%?</t>
        </is>
      </c>
      <c r="C16" s="16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2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0" customWidth="1" min="3" max="3"/>
    <col width="12" customWidth="1" min="4" max="4"/>
    <col width="16" customWidth="1" min="5" max="5"/>
    <col width="16" customWidth="1" min="6" max="6"/>
    <col width="12" customWidth="1" min="7" max="7"/>
    <col width="14" customWidth="1" min="8" max="8"/>
  </cols>
  <sheetData>
    <row r="2">
      <c r="B2" s="1" t="inlineStr">
        <is>
          <t>Marketing Channel Efficiency (CAC &amp; ROAS)</t>
        </is>
      </c>
    </row>
    <row r="4">
      <c r="B4" s="7" t="inlineStr">
        <is>
          <t>channel</t>
        </is>
      </c>
      <c r="C4" s="7" t="inlineStr">
        <is>
          <t>total_spend</t>
        </is>
      </c>
      <c r="D4" s="7" t="inlineStr">
        <is>
          <t>attributed_orders</t>
        </is>
      </c>
      <c r="E4" s="7" t="inlineStr">
        <is>
          <t>attributed_revenue</t>
        </is>
      </c>
      <c r="F4" s="7" t="inlineStr">
        <is>
          <t>cac_inr</t>
        </is>
      </c>
      <c r="G4" s="7" t="inlineStr">
        <is>
          <t>roas</t>
        </is>
      </c>
    </row>
    <row r="5">
      <c r="B5" s="8" t="inlineStr">
        <is>
          <t>Email</t>
        </is>
      </c>
      <c r="C5" s="8" t="n">
        <v>681805</v>
      </c>
      <c r="D5" s="8" t="n">
        <v>907</v>
      </c>
      <c r="E5" s="8" t="n">
        <v>3016829.75</v>
      </c>
      <c r="F5" s="8" t="n">
        <v>751.71</v>
      </c>
      <c r="G5" s="8" t="n">
        <v>4.42</v>
      </c>
    </row>
    <row r="6">
      <c r="B6" s="8" t="inlineStr">
        <is>
          <t>Paid Search</t>
        </is>
      </c>
      <c r="C6" s="8" t="n">
        <v>6273111</v>
      </c>
      <c r="D6" s="8" t="n">
        <v>1119</v>
      </c>
      <c r="E6" s="8" t="n">
        <v>3793215.7</v>
      </c>
      <c r="F6" s="8" t="n">
        <v>5606</v>
      </c>
      <c r="G6" s="8" t="n">
        <v>0.6</v>
      </c>
    </row>
    <row r="7">
      <c r="B7" s="8" t="inlineStr">
        <is>
          <t>Affiliate</t>
        </is>
      </c>
      <c r="C7" s="8" t="n">
        <v>2032843</v>
      </c>
      <c r="D7" s="8" t="n">
        <v>275</v>
      </c>
      <c r="E7" s="8" t="n">
        <v>899469.4</v>
      </c>
      <c r="F7" s="8" t="n">
        <v>7392.16</v>
      </c>
      <c r="G7" s="8" t="n">
        <v>0.44</v>
      </c>
    </row>
    <row r="8">
      <c r="B8" s="8" t="inlineStr">
        <is>
          <t>Paid Social</t>
        </is>
      </c>
      <c r="C8" s="8" t="n">
        <v>5707746</v>
      </c>
      <c r="D8" s="8" t="n">
        <v>667</v>
      </c>
      <c r="E8" s="8" t="n">
        <v>2232507.1</v>
      </c>
      <c r="F8" s="8" t="n">
        <v>8557.34</v>
      </c>
      <c r="G8" s="8" t="n">
        <v>0.39</v>
      </c>
    </row>
    <row r="9">
      <c r="B9" s="8" t="inlineStr">
        <is>
          <t>Organic Search</t>
        </is>
      </c>
      <c r="C9" s="8" t="n">
        <v>0</v>
      </c>
      <c r="D9" s="8" t="n">
        <v>1682</v>
      </c>
      <c r="E9" s="8" t="n">
        <v>5563507.7</v>
      </c>
      <c r="F9" s="8" t="n">
        <v>0</v>
      </c>
      <c r="G9" s="8" t="inlineStr"/>
    </row>
    <row r="10">
      <c r="B10" s="8" t="inlineStr">
        <is>
          <t>Direct</t>
        </is>
      </c>
      <c r="C10" s="8" t="n">
        <v>0</v>
      </c>
      <c r="D10" s="8" t="n">
        <v>2045</v>
      </c>
      <c r="E10" s="8" t="n">
        <v>6838536.85</v>
      </c>
      <c r="F10" s="8" t="n">
        <v>0</v>
      </c>
      <c r="G10" s="8" t="inlineStr"/>
    </row>
    <row r="11">
      <c r="B11" s="8" t="inlineStr">
        <is>
          <t>Referral</t>
        </is>
      </c>
      <c r="C11" s="8" t="n">
        <v>0</v>
      </c>
      <c r="D11" s="8" t="n">
        <v>709</v>
      </c>
      <c r="E11" s="8" t="n">
        <v>2338522.7</v>
      </c>
      <c r="F11" s="8" t="n">
        <v>0</v>
      </c>
      <c r="G11" s="8" t="inlineStr"/>
    </row>
    <row r="15">
      <c r="B15" s="5" t="inlineStr">
        <is>
          <t>Category Performance</t>
        </is>
      </c>
    </row>
    <row r="17">
      <c r="B17" s="7" t="inlineStr">
        <is>
          <t>category</t>
        </is>
      </c>
      <c r="C17" s="7" t="inlineStr">
        <is>
          <t>orders</t>
        </is>
      </c>
      <c r="D17" s="7" t="inlineStr">
        <is>
          <t>units_sold</t>
        </is>
      </c>
      <c r="E17" s="7" t="inlineStr">
        <is>
          <t>gross_revenue</t>
        </is>
      </c>
      <c r="F17" s="7" t="inlineStr">
        <is>
          <t>gross_margin</t>
        </is>
      </c>
      <c r="G17" s="7" t="inlineStr">
        <is>
          <t>margin_pct</t>
        </is>
      </c>
      <c r="H17" s="7" t="inlineStr">
        <is>
          <t>return_rate_pct</t>
        </is>
      </c>
    </row>
    <row r="18">
      <c r="B18" s="8" t="inlineStr">
        <is>
          <t>Footwear</t>
        </is>
      </c>
      <c r="C18" s="8" t="n">
        <v>2401</v>
      </c>
      <c r="D18" s="8" t="n">
        <v>3073</v>
      </c>
      <c r="E18" s="8" t="n">
        <v>9781994</v>
      </c>
      <c r="F18" s="8" t="n">
        <v>4943499</v>
      </c>
      <c r="G18" s="8" t="n">
        <v>50.54</v>
      </c>
      <c r="H18" s="8" t="n">
        <v>7.5</v>
      </c>
    </row>
    <row r="19">
      <c r="B19" s="8" t="inlineStr">
        <is>
          <t>Women's Apparel</t>
        </is>
      </c>
      <c r="C19" s="8" t="n">
        <v>2408</v>
      </c>
      <c r="D19" s="8" t="n">
        <v>3092</v>
      </c>
      <c r="E19" s="8" t="n">
        <v>6257411</v>
      </c>
      <c r="F19" s="8" t="n">
        <v>3106834</v>
      </c>
      <c r="G19" s="8" t="n">
        <v>49.65</v>
      </c>
      <c r="H19" s="8" t="n">
        <v>8.390000000000001</v>
      </c>
    </row>
    <row r="20">
      <c r="B20" s="8" t="inlineStr">
        <is>
          <t>Men's Apparel</t>
        </is>
      </c>
      <c r="C20" s="8" t="n">
        <v>2059</v>
      </c>
      <c r="D20" s="8" t="n">
        <v>2588</v>
      </c>
      <c r="E20" s="8" t="n">
        <v>4794261</v>
      </c>
      <c r="F20" s="8" t="n">
        <v>2380462</v>
      </c>
      <c r="G20" s="8" t="n">
        <v>49.65</v>
      </c>
      <c r="H20" s="8" t="n">
        <v>7.87</v>
      </c>
    </row>
    <row r="21">
      <c r="B21" s="8" t="inlineStr">
        <is>
          <t>Accessories</t>
        </is>
      </c>
      <c r="C21" s="8" t="n">
        <v>2128</v>
      </c>
      <c r="D21" s="8" t="n">
        <v>2710</v>
      </c>
      <c r="E21" s="8" t="n">
        <v>4095258</v>
      </c>
      <c r="F21" s="8" t="n">
        <v>2066582</v>
      </c>
      <c r="G21" s="8" t="n">
        <v>50.46</v>
      </c>
      <c r="H21" s="8" t="n">
        <v>8.27</v>
      </c>
    </row>
    <row r="22">
      <c r="B22" s="8" t="inlineStr">
        <is>
          <t>Beauty</t>
        </is>
      </c>
      <c r="C22" s="8" t="n">
        <v>2497</v>
      </c>
      <c r="D22" s="8" t="n">
        <v>3233</v>
      </c>
      <c r="E22" s="8" t="n">
        <v>2826811</v>
      </c>
      <c r="F22" s="8" t="n">
        <v>1401667</v>
      </c>
      <c r="G22" s="8" t="n">
        <v>49.58</v>
      </c>
      <c r="H22" s="8" t="n">
        <v>7.89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2026-09-13T05:04:23Z</dcterms:created>
  <dcterms:modified xmlns:dcterms="http://purl.org/dc/terms/" xmlns:xsi="http://www.w3.org/2001/XMLSchema-instance" xsi:type="dcterms:W3CDTF">2026-09-13T05:04:23Z</dcterms:modified>
</cp:coreProperties>
</file>